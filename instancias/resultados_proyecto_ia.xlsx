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a\Downloads\"/>
    </mc:Choice>
  </mc:AlternateContent>
  <xr:revisionPtr revIDLastSave="0" documentId="13_ncr:1_{58015100-495E-4FA7-9884-B00B4B1B1601}" xr6:coauthVersionLast="47" xr6:coauthVersionMax="47" xr10:uidLastSave="{00000000-0000-0000-0000-000000000000}"/>
  <bookViews>
    <workbookView xWindow="6330" yWindow="3360" windowWidth="21600" windowHeight="11295" activeTab="2" xr2:uid="{719106A7-7FDF-4464-8905-37DC1348FAB0}"/>
  </bookViews>
  <sheets>
    <sheet name="RESUMEN" sheetId="1" r:id="rId1"/>
    <sheet name="CM-CEUP-2011-N " sheetId="2" r:id="rId2"/>
    <sheet name="MGA-CEVB-2011-V " sheetId="3" r:id="rId3"/>
    <sheet name="CL-CEASD-2008-V-A " sheetId="4" r:id="rId4"/>
    <sheet name="NE-CESVP-2011-V-A" sheetId="5" r:id="rId5"/>
    <sheet name="NE-CESVP-2011-M-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12" i="1"/>
  <c r="C12" i="1"/>
  <c r="B12" i="1"/>
  <c r="E11" i="1"/>
  <c r="D11" i="1"/>
  <c r="C11" i="1"/>
  <c r="B11" i="1"/>
  <c r="E10" i="1"/>
  <c r="D10" i="1"/>
  <c r="C10" i="1"/>
  <c r="B10" i="1"/>
  <c r="E9" i="1"/>
  <c r="D8" i="1"/>
  <c r="D9" i="1"/>
  <c r="C9" i="1"/>
  <c r="B9" i="1"/>
  <c r="E8" i="1"/>
  <c r="C8" i="1"/>
  <c r="B8" i="1"/>
</calcChain>
</file>

<file path=xl/sharedStrings.xml><?xml version="1.0" encoding="utf-8"?>
<sst xmlns="http://schemas.openxmlformats.org/spreadsheetml/2006/main" count="41" uniqueCount="19">
  <si>
    <t>INSTANCIA</t>
  </si>
  <si>
    <t>MEJOR FITNESS</t>
  </si>
  <si>
    <t>FITNESS PROMEDIO</t>
  </si>
  <si>
    <t>DESVIACION ESTANDAR</t>
  </si>
  <si>
    <t>TIEMPO PROMEDIO</t>
  </si>
  <si>
    <t xml:space="preserve">CM-CEUP-2011-N </t>
  </si>
  <si>
    <t xml:space="preserve">MGA-CEVB-2011-V </t>
  </si>
  <si>
    <t xml:space="preserve">CL-CEASD-2008-V-A </t>
  </si>
  <si>
    <t>NE-CESVP-2011-V-A</t>
  </si>
  <si>
    <t>NE-CESVP-2011-M-A</t>
  </si>
  <si>
    <t>SEMILLA</t>
  </si>
  <si>
    <t>FITNESS</t>
  </si>
  <si>
    <t>TIEMPO</t>
  </si>
  <si>
    <t>TAM_POB / PROB_MUT</t>
  </si>
  <si>
    <t xml:space="preserve">CALIBRACION Mejor Fitness con CL-CEASD-2008-V-A </t>
  </si>
  <si>
    <t>aprox 1.4 seg</t>
  </si>
  <si>
    <t>aprox 2.4seg</t>
  </si>
  <si>
    <t>obs</t>
  </si>
  <si>
    <t>aprox 5seg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</si>
</sst>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5394-C7B1-46A8-AF53-DD5AC8A6F5BD}">
  <dimension ref="A1:F12"/>
  <sheetViews>
    <sheetView workbookViewId="0">
      <selection activeCell="E17" sqref="E17"/>
    </sheetView>
  </sheetViews>
  <sheetFormatPr baseColWidth="10" defaultRowHeight="15" x14ac:dyDescent="0.25"/>
  <cols>
    <col min="1" max="1" width="20.5703125" bestFit="1" customWidth="1"/>
    <col min="2" max="2" width="14.28515625" bestFit="1" customWidth="1"/>
    <col min="3" max="3" width="18.140625" bestFit="1" customWidth="1"/>
    <col min="4" max="4" width="21.5703125" bestFit="1" customWidth="1"/>
    <col min="5" max="5" width="17.85546875" bestFit="1" customWidth="1"/>
  </cols>
  <sheetData>
    <row r="1" spans="1:6" x14ac:dyDescent="0.25">
      <c r="A1" t="s">
        <v>14</v>
      </c>
    </row>
    <row r="2" spans="1:6" x14ac:dyDescent="0.25">
      <c r="A2" t="s">
        <v>13</v>
      </c>
      <c r="B2" s="1">
        <v>0.1</v>
      </c>
      <c r="C2" s="1">
        <v>0.2</v>
      </c>
      <c r="D2" s="1">
        <v>0.3</v>
      </c>
      <c r="F2" t="s">
        <v>17</v>
      </c>
    </row>
    <row r="3" spans="1:6" x14ac:dyDescent="0.25">
      <c r="A3">
        <v>30</v>
      </c>
      <c r="B3">
        <v>27680</v>
      </c>
      <c r="C3">
        <v>15490</v>
      </c>
      <c r="D3">
        <v>9560</v>
      </c>
      <c r="F3" t="s">
        <v>15</v>
      </c>
    </row>
    <row r="4" spans="1:6" x14ac:dyDescent="0.25">
      <c r="A4">
        <v>50</v>
      </c>
      <c r="B4">
        <v>15550</v>
      </c>
      <c r="C4">
        <v>8310</v>
      </c>
      <c r="D4">
        <v>6390</v>
      </c>
      <c r="F4" t="s">
        <v>16</v>
      </c>
    </row>
    <row r="5" spans="1:6" x14ac:dyDescent="0.25">
      <c r="A5">
        <v>100</v>
      </c>
      <c r="B5">
        <v>5460</v>
      </c>
      <c r="C5">
        <v>8930</v>
      </c>
      <c r="D5">
        <v>4960</v>
      </c>
      <c r="F5" t="s">
        <v>18</v>
      </c>
    </row>
    <row r="7" spans="1: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6" x14ac:dyDescent="0.25">
      <c r="A8" t="s">
        <v>5</v>
      </c>
      <c r="B8">
        <f>MIN('CM-CEUP-2011-N '!B4:B8)</f>
        <v>3370</v>
      </c>
      <c r="C8">
        <f>AVERAGE('CM-CEUP-2011-N '!B4:B8)</f>
        <v>3638</v>
      </c>
      <c r="D8">
        <f>_xlfn.STDEV.S('CM-CEUP-2011-N '!B4:B8)</f>
        <v>392.89947823839117</v>
      </c>
      <c r="E8">
        <f>AVERAGE('CM-CEUP-2011-N '!C4:C8)</f>
        <v>2.0952460000000004</v>
      </c>
    </row>
    <row r="9" spans="1:6" x14ac:dyDescent="0.25">
      <c r="A9" t="s">
        <v>6</v>
      </c>
      <c r="B9">
        <f>MIN('MGA-CEVB-2011-V '!B4:B8)</f>
        <v>5240</v>
      </c>
      <c r="C9">
        <f>AVERAGE('MGA-CEVB-2011-V '!B4:B8)</f>
        <v>7654</v>
      </c>
      <c r="D9">
        <f>_xlfn.STDEV.S('MGA-CEVB-2011-V '!B4:B8)</f>
        <v>2772.6846196421257</v>
      </c>
      <c r="E9">
        <f>AVERAGE('MGA-CEVB-2011-V '!C4:C8)</f>
        <v>3.8317360000000003</v>
      </c>
    </row>
    <row r="10" spans="1:6" x14ac:dyDescent="0.25">
      <c r="A10" t="s">
        <v>7</v>
      </c>
      <c r="B10">
        <f>MIN('CL-CEASD-2008-V-A '!B4:B8)</f>
        <v>4740</v>
      </c>
      <c r="C10">
        <f>AVERAGE('CL-CEASD-2008-V-A '!B4:B8)</f>
        <v>4956</v>
      </c>
      <c r="D10">
        <f>_xlfn.STDEV.S('CL-CEASD-2008-V-A '!B4:B8)</f>
        <v>161.33815419794539</v>
      </c>
      <c r="E10">
        <f>AVERAGE('CL-CEASD-2008-V-A '!C4:C8)</f>
        <v>5.1035920000000008</v>
      </c>
    </row>
    <row r="11" spans="1:6" x14ac:dyDescent="0.25">
      <c r="A11" t="s">
        <v>8</v>
      </c>
      <c r="B11">
        <f>MIN('NE-CESVP-2011-V-A'!B4:B8)</f>
        <v>1120</v>
      </c>
      <c r="C11">
        <f>AVERAGE('NE-CESVP-2011-V-A'!B4:B8)</f>
        <v>1772</v>
      </c>
      <c r="D11">
        <f>_xlfn.STDEV.S('NE-CESVP-2011-V-A'!B4:B8)</f>
        <v>797.22644211039562</v>
      </c>
      <c r="E11">
        <f>AVERAGE('NE-CESVP-2011-V-A'!C4:C8)</f>
        <v>8.5335080000000012</v>
      </c>
    </row>
    <row r="12" spans="1:6" x14ac:dyDescent="0.25">
      <c r="A12" t="s">
        <v>9</v>
      </c>
      <c r="B12">
        <f>MIN('NE-CESVP-2011-M-A'!B4:B8)</f>
        <v>1580</v>
      </c>
      <c r="C12">
        <f>AVERAGE('NE-CESVP-2011-M-A'!B4:B8)</f>
        <v>3098</v>
      </c>
      <c r="D12">
        <f>_xlfn.STDEV.S('NE-CESVP-2011-M-A'!B4:B8)</f>
        <v>1391.8584698165255</v>
      </c>
      <c r="E12">
        <f>AVERAGE('NE-CESVP-2011-M-A'!C4:C8)</f>
        <v>9.5789739999999988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EA68-B59A-4658-ADE3-5C03DB80AEA8}">
  <dimension ref="A1:C8"/>
  <sheetViews>
    <sheetView workbookViewId="0">
      <selection activeCell="B9" sqref="B9"/>
    </sheetView>
  </sheetViews>
  <sheetFormatPr baseColWidth="10" defaultRowHeight="15" x14ac:dyDescent="0.25"/>
  <sheetData>
    <row r="1" spans="1:3" x14ac:dyDescent="0.25">
      <c r="A1" t="s">
        <v>0</v>
      </c>
      <c r="B1" t="s">
        <v>5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>
        <v>12345</v>
      </c>
      <c r="B4">
        <v>3540</v>
      </c>
      <c r="C4">
        <v>2.1088300000000002</v>
      </c>
    </row>
    <row r="5" spans="1:3" x14ac:dyDescent="0.25">
      <c r="A5">
        <v>54321</v>
      </c>
      <c r="B5">
        <v>3520</v>
      </c>
      <c r="C5">
        <v>2.11016</v>
      </c>
    </row>
    <row r="6" spans="1:3" x14ac:dyDescent="0.25">
      <c r="A6">
        <v>999</v>
      </c>
      <c r="B6">
        <v>4330</v>
      </c>
      <c r="C6">
        <v>2.0781000000000001</v>
      </c>
    </row>
    <row r="7" spans="1:3" x14ac:dyDescent="0.25">
      <c r="A7">
        <v>67</v>
      </c>
      <c r="B7">
        <v>3430</v>
      </c>
      <c r="C7">
        <v>2.0938599999999998</v>
      </c>
    </row>
    <row r="8" spans="1:3" x14ac:dyDescent="0.25">
      <c r="A8">
        <v>7</v>
      </c>
      <c r="B8">
        <v>3370</v>
      </c>
      <c r="C8">
        <v>2.08528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78B2-FB81-439E-8070-D481FEA479FC}">
  <dimension ref="A1:C8"/>
  <sheetViews>
    <sheetView tabSelected="1" workbookViewId="0">
      <selection activeCell="D13" sqref="D13"/>
    </sheetView>
  </sheetViews>
  <sheetFormatPr baseColWidth="10" defaultRowHeight="15" x14ac:dyDescent="0.25"/>
  <sheetData>
    <row r="1" spans="1:3" x14ac:dyDescent="0.25">
      <c r="A1" t="s">
        <v>0</v>
      </c>
      <c r="B1" t="s">
        <v>6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>
        <v>12345</v>
      </c>
      <c r="B4">
        <v>8430</v>
      </c>
      <c r="C4">
        <v>3.77434</v>
      </c>
    </row>
    <row r="5" spans="1:3" x14ac:dyDescent="0.25">
      <c r="A5">
        <v>54321</v>
      </c>
      <c r="B5">
        <v>5240</v>
      </c>
      <c r="C5">
        <v>3.74207</v>
      </c>
    </row>
    <row r="6" spans="1:3" x14ac:dyDescent="0.25">
      <c r="A6">
        <v>999</v>
      </c>
      <c r="B6">
        <v>12000</v>
      </c>
      <c r="C6">
        <v>3.7386699999999999</v>
      </c>
    </row>
    <row r="7" spans="1:3" x14ac:dyDescent="0.25">
      <c r="A7">
        <v>67</v>
      </c>
      <c r="B7">
        <v>7240</v>
      </c>
      <c r="C7">
        <v>3.7628300000000001</v>
      </c>
    </row>
    <row r="8" spans="1:3" x14ac:dyDescent="0.25">
      <c r="A8">
        <v>7</v>
      </c>
      <c r="B8">
        <v>5360</v>
      </c>
      <c r="C8">
        <v>4.1407699999999998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5D20-4B76-49D8-9957-C507B962170A}">
  <dimension ref="A1:C8"/>
  <sheetViews>
    <sheetView workbookViewId="0">
      <selection activeCell="F13" sqref="F13"/>
    </sheetView>
  </sheetViews>
  <sheetFormatPr baseColWidth="10" defaultRowHeight="15" x14ac:dyDescent="0.25"/>
  <sheetData>
    <row r="1" spans="1:3" x14ac:dyDescent="0.25">
      <c r="A1" t="s">
        <v>0</v>
      </c>
      <c r="B1" t="s">
        <v>7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>
        <v>12345</v>
      </c>
      <c r="B4">
        <v>4960</v>
      </c>
      <c r="C4">
        <v>4.8888100000000003</v>
      </c>
    </row>
    <row r="5" spans="1:3" x14ac:dyDescent="0.25">
      <c r="A5">
        <v>54321</v>
      </c>
      <c r="B5">
        <v>4740</v>
      </c>
      <c r="C5">
        <v>4.9729700000000001</v>
      </c>
    </row>
    <row r="6" spans="1:3" x14ac:dyDescent="0.25">
      <c r="A6">
        <v>999</v>
      </c>
      <c r="B6">
        <v>4980</v>
      </c>
      <c r="C6">
        <v>5.3012199999999998</v>
      </c>
    </row>
    <row r="7" spans="1:3" x14ac:dyDescent="0.25">
      <c r="A7">
        <v>67</v>
      </c>
      <c r="B7">
        <v>4910</v>
      </c>
      <c r="C7">
        <v>5.1365400000000001</v>
      </c>
    </row>
    <row r="8" spans="1:3" x14ac:dyDescent="0.25">
      <c r="A8">
        <v>7</v>
      </c>
      <c r="B8">
        <v>5190</v>
      </c>
      <c r="C8">
        <v>5.2184200000000001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CAFC-8941-4A05-A010-50FAAED826D3}">
  <dimension ref="A1:C8"/>
  <sheetViews>
    <sheetView workbookViewId="0">
      <selection activeCell="H13" sqref="H13"/>
    </sheetView>
  </sheetViews>
  <sheetFormatPr baseColWidth="10" defaultRowHeight="15" x14ac:dyDescent="0.25"/>
  <sheetData>
    <row r="1" spans="1:3" x14ac:dyDescent="0.25">
      <c r="A1" t="s">
        <v>0</v>
      </c>
      <c r="B1" t="s">
        <v>8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>
        <v>12345</v>
      </c>
      <c r="B4">
        <v>2080</v>
      </c>
      <c r="C4">
        <v>8.7354800000000008</v>
      </c>
    </row>
    <row r="5" spans="1:3" x14ac:dyDescent="0.25">
      <c r="A5">
        <v>54321</v>
      </c>
      <c r="B5">
        <v>1210</v>
      </c>
      <c r="C5">
        <v>8.5090199999999996</v>
      </c>
    </row>
    <row r="6" spans="1:3" x14ac:dyDescent="0.25">
      <c r="A6">
        <v>999</v>
      </c>
      <c r="B6">
        <v>1420</v>
      </c>
      <c r="C6">
        <v>8.4754699999999996</v>
      </c>
    </row>
    <row r="7" spans="1:3" x14ac:dyDescent="0.25">
      <c r="A7">
        <v>67</v>
      </c>
      <c r="B7">
        <v>3030</v>
      </c>
      <c r="C7">
        <v>8.5174099999999999</v>
      </c>
    </row>
    <row r="8" spans="1:3" x14ac:dyDescent="0.25">
      <c r="A8">
        <v>7</v>
      </c>
      <c r="B8">
        <v>1120</v>
      </c>
      <c r="C8">
        <v>8.4301600000000008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7C9A-B1AA-4B03-9621-19116D98EBAE}">
  <dimension ref="A1:C8"/>
  <sheetViews>
    <sheetView workbookViewId="0">
      <selection activeCell="B9" sqref="B9"/>
    </sheetView>
  </sheetViews>
  <sheetFormatPr baseColWidth="10" defaultRowHeight="15" x14ac:dyDescent="0.25"/>
  <sheetData>
    <row r="1" spans="1:3" x14ac:dyDescent="0.25">
      <c r="A1" t="s">
        <v>0</v>
      </c>
      <c r="B1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>
        <v>12345</v>
      </c>
      <c r="B4">
        <v>3770</v>
      </c>
      <c r="C4">
        <v>9.4201700000000006</v>
      </c>
    </row>
    <row r="5" spans="1:3" x14ac:dyDescent="0.25">
      <c r="A5">
        <v>54321</v>
      </c>
      <c r="B5">
        <v>1690</v>
      </c>
      <c r="C5">
        <v>9.6525599999999994</v>
      </c>
    </row>
    <row r="6" spans="1:3" x14ac:dyDescent="0.25">
      <c r="A6">
        <v>999</v>
      </c>
      <c r="B6">
        <v>4710</v>
      </c>
      <c r="C6">
        <v>9.7324900000000003</v>
      </c>
    </row>
    <row r="7" spans="1:3" x14ac:dyDescent="0.25">
      <c r="A7">
        <v>67</v>
      </c>
      <c r="B7">
        <v>3740</v>
      </c>
      <c r="C7">
        <v>9.5311599999999999</v>
      </c>
    </row>
    <row r="8" spans="1:3" x14ac:dyDescent="0.25">
      <c r="A8">
        <v>7</v>
      </c>
      <c r="B8">
        <v>1580</v>
      </c>
      <c r="C8">
        <v>9.5584900000000008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587EA8F9079846973AE57F7EDF8980" ma:contentTypeVersion="18" ma:contentTypeDescription="Crear nuevo documento." ma:contentTypeScope="" ma:versionID="5b97c165ada2a63f681263578a69c7a4">
  <xsd:schema xmlns:xsd="http://www.w3.org/2001/XMLSchema" xmlns:xs="http://www.w3.org/2001/XMLSchema" xmlns:p="http://schemas.microsoft.com/office/2006/metadata/properties" xmlns:ns3="4d9a2495-b819-41e8-9dfd-f584a743516c" xmlns:ns4="f9ae86df-4c32-46db-97c5-fcb1165191b0" targetNamespace="http://schemas.microsoft.com/office/2006/metadata/properties" ma:root="true" ma:fieldsID="919dea96e5c3c39a1a4821da30dd1526" ns3:_="" ns4:_="">
    <xsd:import namespace="4d9a2495-b819-41e8-9dfd-f584a743516c"/>
    <xsd:import namespace="f9ae86df-4c32-46db-97c5-fcb1165191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a2495-b819-41e8-9dfd-f584a74351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e86df-4c32-46db-97c5-fcb116519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9a2495-b819-41e8-9dfd-f584a743516c" xsi:nil="true"/>
  </documentManagement>
</p:properties>
</file>

<file path=customXml/itemProps1.xml><?xml version="1.0" encoding="utf-8"?>
<ds:datastoreItem xmlns:ds="http://schemas.openxmlformats.org/officeDocument/2006/customXml" ds:itemID="{846AA3EB-768A-464E-8CF8-B5C405F47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a2495-b819-41e8-9dfd-f584a743516c"/>
    <ds:schemaRef ds:uri="f9ae86df-4c32-46db-97c5-fcb116519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7A558D-A234-4CB7-8DAD-6ED99F2988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0A6E3A-2872-483B-9756-C5F776F65441}">
  <ds:schemaRefs>
    <ds:schemaRef ds:uri="f9ae86df-4c32-46db-97c5-fcb116519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d9a2495-b819-41e8-9dfd-f584a743516c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CM-CEUP-2011-N </vt:lpstr>
      <vt:lpstr>MGA-CEVB-2011-V </vt:lpstr>
      <vt:lpstr>CL-CEASD-2008-V-A </vt:lpstr>
      <vt:lpstr>NE-CESVP-2011-V-A</vt:lpstr>
      <vt:lpstr>NE-CESVP-2011-M-A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Zuñiga Gonzalez (Alumno)</dc:creator>
  <cp:lastModifiedBy>Antonia Zuñiga Gonzalez (Alumno)</cp:lastModifiedBy>
  <dcterms:created xsi:type="dcterms:W3CDTF">2026-06-23T23:24:09Z</dcterms:created>
  <dcterms:modified xsi:type="dcterms:W3CDTF">2026-06-26T05:17:21Z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0x010100EC587EA8F9079846973AE57F7EDF8980</vt:lpwstr>
  </property>
</Properties>
</file>